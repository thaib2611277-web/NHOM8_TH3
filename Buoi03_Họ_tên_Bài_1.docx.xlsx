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điểm" sheetId="1" r:id="rId4"/>
    <sheet state="visible" name="Điểm thực hành các buổi" sheetId="2" r:id="rId5"/>
    <sheet state="visible" name="Điểm bài tập lớn" sheetId="3" r:id="rId6"/>
    <sheet state="visible" name="Điểm lý thuyết" sheetId="4" r:id="rId7"/>
    <sheet state="visible" name="Các bảng tham chiếu &amp; Thống kê" sheetId="5" r:id="rId8"/>
    <sheet state="visible" name="Sinh viên điểm &lt; 7" sheetId="6" r:id="rId9"/>
    <sheet state="visible" name="Sinh viên điểm &gt;= 7" sheetId="7" r:id="rId10"/>
  </sheets>
  <definedNames/>
  <calcPr/>
  <extLst>
    <ext uri="GoogleSheetsCustomDataVersion2">
      <go:sheetsCustomData xmlns:go="http://customooxmlschemas.google.com/" r:id="rId11" roundtripDataChecksum="oit2pFXn8y/9LioTAy4FA6QBeaYxQrNtTx8e23HrH9w="/>
    </ext>
  </extLst>
</workbook>
</file>

<file path=xl/sharedStrings.xml><?xml version="1.0" encoding="utf-8"?>
<sst xmlns="http://schemas.openxmlformats.org/spreadsheetml/2006/main" count="258" uniqueCount="91">
  <si>
    <t>Điểm thực hành các buổi</t>
  </si>
  <si>
    <t>ĐIỂM THI HK1-2018-2019 (CT428)</t>
  </si>
  <si>
    <t>Điểm bài tập lớn</t>
  </si>
  <si>
    <t>Điểm lý thuyết</t>
  </si>
  <si>
    <t>STT</t>
  </si>
  <si>
    <t>Ma CB</t>
  </si>
  <si>
    <t>Mã SV</t>
  </si>
  <si>
    <t>Họ và Tên</t>
  </si>
  <si>
    <t>B1505719</t>
  </si>
  <si>
    <t>Nguyễn Phước Hiếu</t>
  </si>
  <si>
    <t>B1505915</t>
  </si>
  <si>
    <t>Họ và tên</t>
  </si>
  <si>
    <t>Lý Minh Trí</t>
  </si>
  <si>
    <t>Điểm TH 1</t>
  </si>
  <si>
    <t>Điểm TH 2</t>
  </si>
  <si>
    <t>Điểm TH 3</t>
  </si>
  <si>
    <t>Điểm BL lớn</t>
  </si>
  <si>
    <t>B1509874</t>
  </si>
  <si>
    <t>Nguyễn Kiều Mi</t>
  </si>
  <si>
    <t>B1509929</t>
  </si>
  <si>
    <t>Nguyễn Văn Hiếu</t>
  </si>
  <si>
    <t>Đặng Duy Linh</t>
  </si>
  <si>
    <t>Ho va ten</t>
  </si>
  <si>
    <t>Nguyen Minh Trung</t>
  </si>
  <si>
    <t>B1605223</t>
  </si>
  <si>
    <t>Lê Thị Trúc Linh</t>
  </si>
  <si>
    <t>B1605235</t>
  </si>
  <si>
    <t>Phạm Thị Huỳnh</t>
  </si>
  <si>
    <t>Ma MH</t>
  </si>
  <si>
    <t>CT428</t>
  </si>
  <si>
    <t>Ma NH</t>
  </si>
  <si>
    <t>B1605249</t>
  </si>
  <si>
    <t>Nam hoc</t>
  </si>
  <si>
    <t>Lê Minh Thông</t>
  </si>
  <si>
    <t>2020-2021</t>
  </si>
  <si>
    <t>Hoc ky</t>
  </si>
  <si>
    <t>B1605285</t>
  </si>
  <si>
    <t>Huỳnh Thị Diễm</t>
  </si>
  <si>
    <t>B1605291</t>
  </si>
  <si>
    <t>Trần Thanh Nguyên</t>
  </si>
  <si>
    <t>B1605344</t>
  </si>
  <si>
    <t>Điểm BT lớn</t>
  </si>
  <si>
    <t>Nguyễn Thị Đào</t>
  </si>
  <si>
    <t>Điểm LT</t>
  </si>
  <si>
    <t>Điểm tổng</t>
  </si>
  <si>
    <t>Điểm theo thang điểm 10</t>
  </si>
  <si>
    <t>Điểm chữ</t>
  </si>
  <si>
    <t>0B1505719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</si>
  <si>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</si>
  <si>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</si>
  <si>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</si>
  <si>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</si>
  <si>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</si>
  <si>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</si>
  <si>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</si>
  <si>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Khánh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</si>
  <si>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</si>
  <si>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</si>
  <si>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</si>
  <si>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</si>
  <si>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</si>
  <si>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</si>
  <si>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</si>
  <si>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</si>
  <si>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DANH SÁCH SINH VIÊN CÓ ĐIỂM THANG 10 &lt; 7</t>
  </si>
  <si>
    <t>1B1605344</t>
  </si>
  <si>
    <t>D+</t>
  </si>
  <si>
    <t>C</t>
  </si>
  <si>
    <t>DANH SÁCH SINH VIÊN CÓ ĐIỂM THANG 10 &gt;= 7 VÀ ĐIỂM CHỮ B+ HOẶC A</t>
  </si>
  <si>
    <t>F</t>
  </si>
  <si>
    <t>B+</t>
  </si>
  <si>
    <t>C+</t>
  </si>
  <si>
    <t>4B1607025</t>
  </si>
  <si>
    <t>5B1609765</t>
  </si>
  <si>
    <t>0B1609773</t>
  </si>
  <si>
    <t>2B1609759</t>
  </si>
  <si>
    <t>Bảng quy đổi điểm</t>
  </si>
  <si>
    <t>Bảng Điểm Chuyên cần</t>
  </si>
  <si>
    <t>Điểm theo thang điểm 4</t>
  </si>
  <si>
    <t>Số buổi vắng</t>
  </si>
  <si>
    <t>Điểm CT</t>
  </si>
  <si>
    <t>D</t>
  </si>
  <si>
    <t>B</t>
  </si>
  <si>
    <t>A</t>
  </si>
  <si>
    <t>Danh sách Sinh viên</t>
  </si>
  <si>
    <t>Bảng thống kê theo điểm chữ</t>
  </si>
  <si>
    <t>Số lượng sinh viên</t>
  </si>
  <si>
    <t>Bảng thống kê SV</t>
  </si>
  <si>
    <t>Số sinh viên điểm BT lớn = 0 hoặc điểm LT = -3</t>
  </si>
  <si>
    <t>Số SV có Điểm theo thang điểm 10 &gt;= 7 và có Điểm chữ là B+ hoặc A</t>
  </si>
  <si>
    <t>Số SV nghỉ TH &gt;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</si>
</sst>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b/>
      <sz val="14.0"/>
      <color rgb="FF000000"/>
      <name val="Calibri"/>
    </font>
    <font/>
    <font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1F4E78"/>
      <name val="Calibri"/>
    </font>
    <font>
      <b/>
      <sz val="11.0"/>
      <color rgb="FF1C4587"/>
      <name val="Calibri"/>
    </font>
    <font>
      <sz val="4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3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vertical="center"/>
    </xf>
    <xf borderId="4" fillId="0" fontId="5" numFmtId="164" xfId="0" applyAlignment="1" applyBorder="1" applyFont="1" applyNumberFormat="1">
      <alignment horizontal="right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vertical="center"/>
    </xf>
    <xf borderId="4" fillId="0" fontId="6" numFmtId="0" xfId="0" applyBorder="1" applyFont="1"/>
    <xf borderId="4" fillId="0" fontId="5" numFmtId="0" xfId="0" applyBorder="1" applyFont="1"/>
    <xf borderId="4" fillId="0" fontId="5" numFmtId="2" xfId="0" applyAlignment="1" applyBorder="1" applyFont="1" applyNumberFormat="1">
      <alignment horizontal="right" vertical="center"/>
    </xf>
    <xf borderId="4" fillId="2" fontId="6" numFmtId="0" xfId="0" applyAlignment="1" applyBorder="1" applyFill="1" applyFont="1">
      <alignment horizontal="center" shrinkToFit="0" vertical="center" wrapText="1"/>
    </xf>
    <xf borderId="4" fillId="6" fontId="6" numFmtId="164" xfId="0" applyAlignment="1" applyBorder="1" applyFill="1" applyFont="1" applyNumberFormat="1">
      <alignment horizontal="right" vertical="center"/>
    </xf>
    <xf borderId="4" fillId="6" fontId="6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3" fillId="7" fontId="8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0" fontId="3" numFmtId="0" xfId="0" applyBorder="1" applyFont="1"/>
    <xf borderId="2" fillId="7" fontId="7" numFmtId="0" xfId="0" applyAlignment="1" applyBorder="1" applyFill="1" applyFont="1">
      <alignment horizontal="center" shrinkToFit="0" vertical="center" wrapText="1"/>
    </xf>
    <xf borderId="3" fillId="7" fontId="7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vertical="center"/>
    </xf>
    <xf borderId="0" fillId="0" fontId="9" numFmtId="0" xfId="0" applyFont="1"/>
    <xf borderId="4" fillId="0" fontId="5" numFmtId="0" xfId="0" applyAlignment="1" applyBorder="1" applyFont="1">
      <alignment horizontal="right" vertical="center"/>
    </xf>
    <xf borderId="3" fillId="7" fontId="5" numFmtId="0" xfId="0" applyAlignment="1" applyBorder="1" applyFill="1" applyFont="1">
      <alignment horizontal="left" vertical="center"/>
    </xf>
    <xf borderId="4" fillId="0" fontId="6" numFmtId="0" xfId="0" applyAlignment="1" applyBorder="1" applyFont="1">
      <alignment horizontal="center" shrinkToFit="0" vertical="center" wrapText="1"/>
    </xf>
    <xf borderId="3" fillId="7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Thống kê tổng số lượng Sinh viên theo điểm chữ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'Các bảng tham chiếu &amp; Thống kê'!$F$13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'Các bảng tham chiếu &amp; Thống kê'!$E$14:$E$21</c:f>
            </c:strRef>
          </c:cat>
          <c:val>
            <c:numRef>
              <c:f>'Các bảng tham chiếu &amp; Thống kê'!$F$14:$F$21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11</xdr:row>
      <xdr:rowOff>0</xdr:rowOff>
    </xdr:from>
    <xdr:ext cx="5391150" cy="2695575"/>
    <xdr:graphicFrame>
      <xdr:nvGraphicFramePr>
        <xdr:cNvPr id="141567177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22.0"/>
    <col customWidth="1" min="4" max="4" width="14.0"/>
    <col customWidth="1" min="5" max="5" width="21.0"/>
    <col customWidth="1" min="6" max="6" width="14.0"/>
    <col customWidth="1" min="7" max="7" width="15.0"/>
    <col customWidth="1" min="8" max="9" width="14.0"/>
    <col customWidth="1" min="10" max="10" width="27.0"/>
    <col customWidth="1" min="11" max="11" width="14.0"/>
    <col customWidth="1" min="12" max="26" width="8.71"/>
  </cols>
  <sheetData>
    <row r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5"/>
    </row>
    <row r="2">
      <c r="A2" s="6"/>
      <c r="B2" s="14" t="s">
        <v>5</v>
      </c>
      <c r="C2" s="15">
        <v>1043.0</v>
      </c>
      <c r="D2" s="14" t="s">
        <v>22</v>
      </c>
      <c r="E2" s="15" t="s">
        <v>23</v>
      </c>
      <c r="F2" s="6"/>
      <c r="G2" s="6"/>
      <c r="H2" s="6"/>
      <c r="I2" s="6"/>
      <c r="J2" s="6"/>
      <c r="K2" s="6"/>
    </row>
    <row r="3">
      <c r="A3" s="6"/>
      <c r="B3" s="14" t="s">
        <v>28</v>
      </c>
      <c r="C3" s="15" t="s">
        <v>29</v>
      </c>
      <c r="D3" s="14" t="s">
        <v>30</v>
      </c>
      <c r="E3" s="15">
        <v>8.0</v>
      </c>
      <c r="F3" s="6"/>
      <c r="G3" s="6"/>
      <c r="H3" s="6"/>
      <c r="I3" s="6"/>
      <c r="J3" s="6"/>
      <c r="K3" s="6"/>
    </row>
    <row r="4">
      <c r="A4" s="6"/>
      <c r="B4" s="14" t="s">
        <v>32</v>
      </c>
      <c r="C4" s="15" t="s">
        <v>34</v>
      </c>
      <c r="D4" s="14" t="s">
        <v>35</v>
      </c>
      <c r="E4" s="15">
        <v>1.0</v>
      </c>
      <c r="F4" s="6"/>
      <c r="G4" s="6"/>
      <c r="H4" s="6"/>
      <c r="I4" s="6"/>
      <c r="J4" s="6"/>
      <c r="K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A6" s="17" t="s">
        <v>4</v>
      </c>
      <c r="B6" s="17" t="s">
        <v>6</v>
      </c>
      <c r="C6" s="17" t="s">
        <v>7</v>
      </c>
      <c r="D6" s="17" t="s">
        <v>13</v>
      </c>
      <c r="E6" s="17" t="s">
        <v>14</v>
      </c>
      <c r="F6" s="17" t="s">
        <v>15</v>
      </c>
      <c r="G6" s="17" t="s">
        <v>41</v>
      </c>
      <c r="H6" s="17" t="s">
        <v>43</v>
      </c>
      <c r="I6" s="17" t="s">
        <v>44</v>
      </c>
      <c r="J6" s="17" t="s">
        <v>45</v>
      </c>
      <c r="K6" s="17" t="s">
        <v>46</v>
      </c>
    </row>
    <row r="7">
      <c r="A7" s="8">
        <v>1.0</v>
      </c>
      <c r="B7" s="8" t="s">
        <v>47</v>
      </c>
      <c r="C7" s="13" t="str">
        <f>VLOOKUP(RIGHT(B7,8), 'Các bảng tham chiếu &amp; Thống kê'!$B$14:$C$27, 2, FALSE)</f>
        <v>Nguyễn Văn Hiếu</v>
      </c>
      <c r="D7" s="16">
        <f>VLOOKUP(RIGHT(B7,8), 'Điểm thực hành các buổi'!$B$3:$F$16, 3, FALSE)</f>
        <v>0.45</v>
      </c>
      <c r="E7" s="16">
        <f>VLOOKUP(RIGHT(B7,8), 'Điểm thực hành các buổi'!$B$3:$F$16, 4, FALSE)</f>
        <v>0.25</v>
      </c>
      <c r="F7" s="16">
        <f>VLOOKUP(RIGHT(B7,8), 'Điểm thực hành các buổi'!$B$3:$F$16, 5, FALSE)</f>
        <v>0.3</v>
      </c>
      <c r="G7" s="16">
        <f>VLOOKUP(RIGHT(B7,8), 'Điểm bài tập lớn'!$B$3:$D$16, 3, FALSE)</f>
        <v>0.5</v>
      </c>
      <c r="H7" s="10">
        <f>VLOOKUP(RIGHT(B7,8), 'Điểm lý thuyết'!$B$3:$D$16, 3, FALSE)</f>
        <v>4.2</v>
      </c>
      <c r="I7" s="10">
        <f t="shared" ref="I7:I20" si="1">ROUND(IF(H7=-3, 0, D7+E7+F7+G7+0.6*H7), 1)</f>
        <v>4</v>
      </c>
      <c r="J7" s="18">
        <f>ROUND(IF(OR(G7=0, VALUE(LEFT(B7,1))&gt;2), 0, I7 + VLOOKUP(VALUE(LEFT(B7,1)), 'Các bảng tham chiếu &amp; Thống kê'!$E$3:$F$5, 2, FALSE)), 1)</f>
        <v>5</v>
      </c>
      <c r="K7" s="19" t="str">
        <f>VLOOKUP(J7, 'Các bảng tham chiếu &amp; Thống kê'!$A$3:$C$10, 2, TRUE)</f>
        <v>D+</v>
      </c>
    </row>
    <row r="8">
      <c r="A8" s="8">
        <v>2.0</v>
      </c>
      <c r="B8" s="8" t="s">
        <v>56</v>
      </c>
      <c r="C8" s="13" t="str">
        <f>VLOOKUP(RIGHT(B8,8), 'Các bảng tham chiếu &amp; Thống kê'!$B$14:$C$27, 2, FALSE)</f>
        <v>Lý Minh Trí</v>
      </c>
      <c r="D8" s="16">
        <f>VLOOKUP(RIGHT(B8,8), 'Điểm thực hành các buổi'!$B$3:$F$16, 3, FALSE)</f>
        <v>0.5</v>
      </c>
      <c r="E8" s="16">
        <f>VLOOKUP(RIGHT(B8,8), 'Điểm thực hành các buổi'!$B$3:$F$16, 4, FALSE)</f>
        <v>0.35</v>
      </c>
      <c r="F8" s="16">
        <f>VLOOKUP(RIGHT(B8,8), 'Điểm thực hành các buổi'!$B$3:$F$16, 5, FALSE)</f>
        <v>0.4</v>
      </c>
      <c r="G8" s="16">
        <f>VLOOKUP(RIGHT(B8,8), 'Điểm bài tập lớn'!$B$3:$D$16, 3, FALSE)</f>
        <v>1</v>
      </c>
      <c r="H8" s="10">
        <f>VLOOKUP(RIGHT(B8,8), 'Điểm lý thuyết'!$B$3:$D$16, 3, FALSE)</f>
        <v>5.8</v>
      </c>
      <c r="I8" s="10">
        <f t="shared" si="1"/>
        <v>5.7</v>
      </c>
      <c r="J8" s="18">
        <f>ROUND(IF(OR(G8=0, VALUE(LEFT(B8,1))&gt;2), 0, I8 + VLOOKUP(VALUE(LEFT(B8,1)), 'Các bảng tham chiếu &amp; Thống kê'!$E$3:$F$5, 2, FALSE)), 1)</f>
        <v>6.2</v>
      </c>
      <c r="K8" s="19" t="str">
        <f>VLOOKUP(J8, 'Các bảng tham chiếu &amp; Thống kê'!$A$3:$C$10, 2, TRUE)</f>
        <v>C</v>
      </c>
    </row>
    <row r="9">
      <c r="A9" s="8">
        <v>3.0</v>
      </c>
      <c r="B9" s="8" t="s">
        <v>57</v>
      </c>
      <c r="C9" s="13" t="str">
        <f>VLOOKUP(RIGHT(B9,8), 'Các bảng tham chiếu &amp; Thống kê'!$B$14:$C$27, 2, FALSE)</f>
        <v>Nguyễn Kiều Mi</v>
      </c>
      <c r="D9" s="16">
        <f>VLOOKUP(RIGHT(B9,8), 'Điểm thực hành các buổi'!$B$3:$F$16, 3, FALSE)</f>
        <v>0.25</v>
      </c>
      <c r="E9" s="16">
        <f>VLOOKUP(RIGHT(B9,8), 'Điểm thực hành các buổi'!$B$3:$F$16, 4, FALSE)</f>
        <v>0.25</v>
      </c>
      <c r="F9" s="16">
        <f>VLOOKUP(RIGHT(B9,8), 'Điểm thực hành các buổi'!$B$3:$F$16, 5, FALSE)</f>
        <v>0.3</v>
      </c>
      <c r="G9" s="16">
        <f>VLOOKUP(RIGHT(B9,8), 'Điểm bài tập lớn'!$B$3:$D$16, 3, FALSE)</f>
        <v>0.5</v>
      </c>
      <c r="H9" s="10">
        <f>VLOOKUP(RIGHT(B9,8), 'Điểm lý thuyết'!$B$3:$D$16, 3, FALSE)</f>
        <v>5.8</v>
      </c>
      <c r="I9" s="10">
        <f t="shared" si="1"/>
        <v>4.8</v>
      </c>
      <c r="J9" s="18">
        <f>ROUND(IF(OR(G9=0, VALUE(LEFT(B9,1))&gt;2), 0, I9 + VLOOKUP(VALUE(LEFT(B9,1)), 'Các bảng tham chiếu &amp; Thống kê'!$E$3:$F$5, 2, FALSE)), 1)</f>
        <v>5.8</v>
      </c>
      <c r="K9" s="19" t="str">
        <f>VLOOKUP(J9, 'Các bảng tham chiếu &amp; Thống kê'!$A$3:$C$10, 2, TRUE)</f>
        <v>C</v>
      </c>
    </row>
    <row r="10">
      <c r="A10" s="8">
        <v>4.0</v>
      </c>
      <c r="B10" s="8" t="s">
        <v>58</v>
      </c>
      <c r="C10" s="13" t="str">
        <f>VLOOKUP(RIGHT(B10,8), 'Các bảng tham chiếu &amp; Thống kê'!$B$14:$C$27, 2, FALSE)</f>
        <v>Đặng Duy Linh</v>
      </c>
      <c r="D10" s="16">
        <f>VLOOKUP(RIGHT(B10,8), 'Điểm thực hành các buổi'!$B$3:$F$16, 3, FALSE)</f>
        <v>0.4</v>
      </c>
      <c r="E10" s="16">
        <f>VLOOKUP(RIGHT(B10,8), 'Điểm thực hành các buổi'!$B$3:$F$16, 4, FALSE)</f>
        <v>0.25</v>
      </c>
      <c r="F10" s="16">
        <f>VLOOKUP(RIGHT(B10,8), 'Điểm thực hành các buổi'!$B$3:$F$16, 5, FALSE)</f>
        <v>0.35</v>
      </c>
      <c r="G10" s="16">
        <f>VLOOKUP(RIGHT(B10,8), 'Điểm bài tập lớn'!$B$3:$D$16, 3, FALSE)</f>
        <v>1</v>
      </c>
      <c r="H10" s="10">
        <f>VLOOKUP(RIGHT(B10,8), 'Điểm lý thuyết'!$B$3:$D$16, 3, FALSE)</f>
        <v>4.5</v>
      </c>
      <c r="I10" s="10">
        <f t="shared" si="1"/>
        <v>4.7</v>
      </c>
      <c r="J10" s="18">
        <f>ROUND(IF(OR(G10=0, VALUE(LEFT(B10,1))&gt;2), 0, I10 + VLOOKUP(VALUE(LEFT(B10,1)), 'Các bảng tham chiếu &amp; Thống kê'!$E$3:$F$5, 2, FALSE)), 1)</f>
        <v>5.7</v>
      </c>
      <c r="K10" s="19" t="str">
        <f>VLOOKUP(J10, 'Các bảng tham chiếu &amp; Thống kê'!$A$3:$C$10, 2, TRUE)</f>
        <v>C</v>
      </c>
    </row>
    <row r="11">
      <c r="A11" s="8">
        <v>5.0</v>
      </c>
      <c r="B11" s="8" t="s">
        <v>59</v>
      </c>
      <c r="C11" s="13" t="str">
        <f>VLOOKUP(RIGHT(B11,8), 'Các bảng tham chiếu &amp; Thống kê'!$B$14:$C$27, 2, FALSE)</f>
        <v>Lê Thị Trúc Linh</v>
      </c>
      <c r="D11" s="16">
        <f>VLOOKUP(RIGHT(B11,8), 'Điểm thực hành các buổi'!$B$3:$F$16, 3, FALSE)</f>
        <v>0.45</v>
      </c>
      <c r="E11" s="16">
        <f>VLOOKUP(RIGHT(B11,8), 'Điểm thực hành các buổi'!$B$3:$F$16, 4, FALSE)</f>
        <v>0.4</v>
      </c>
      <c r="F11" s="16">
        <f>VLOOKUP(RIGHT(B11,8), 'Điểm thực hành các buổi'!$B$3:$F$16, 5, FALSE)</f>
        <v>0.35</v>
      </c>
      <c r="G11" s="16">
        <f>VLOOKUP(RIGHT(B11,8), 'Điểm bài tập lớn'!$B$3:$D$16, 3, FALSE)</f>
        <v>0.75</v>
      </c>
      <c r="H11" s="10">
        <f>VLOOKUP(RIGHT(B11,8), 'Điểm lý thuyết'!$B$3:$D$16, 3, FALSE)</f>
        <v>5.5</v>
      </c>
      <c r="I11" s="10">
        <f t="shared" si="1"/>
        <v>5.3</v>
      </c>
      <c r="J11" s="18">
        <f>ROUND(IF(OR(G11=0, VALUE(LEFT(B11,1))&gt;2), 0, I11 + VLOOKUP(VALUE(LEFT(B11,1)), 'Các bảng tham chiếu &amp; Thống kê'!$E$3:$F$5, 2, FALSE)), 1)</f>
        <v>5.6</v>
      </c>
      <c r="K11" s="19" t="str">
        <f>VLOOKUP(J11, 'Các bảng tham chiếu &amp; Thống kê'!$A$3:$C$10, 2, TRUE)</f>
        <v>C</v>
      </c>
    </row>
    <row r="12">
      <c r="A12" s="8">
        <v>6.0</v>
      </c>
      <c r="B12" s="8" t="s">
        <v>60</v>
      </c>
      <c r="C12" s="13" t="str">
        <f>VLOOKUP(RIGHT(B12,8), 'Các bảng tham chiếu &amp; Thống kê'!$B$14:$C$27, 2, FALSE)</f>
        <v>Phạm Thị Huỳnh</v>
      </c>
      <c r="D12" s="16">
        <f>VLOOKUP(RIGHT(B12,8), 'Điểm thực hành các buổi'!$B$3:$F$16, 3, FALSE)</f>
        <v>0.4</v>
      </c>
      <c r="E12" s="16">
        <f>VLOOKUP(RIGHT(B12,8), 'Điểm thực hành các buổi'!$B$3:$F$16, 4, FALSE)</f>
        <v>0.45</v>
      </c>
      <c r="F12" s="16">
        <f>VLOOKUP(RIGHT(B12,8), 'Điểm thực hành các buổi'!$B$3:$F$16, 5, FALSE)</f>
        <v>0.5</v>
      </c>
      <c r="G12" s="16">
        <f>VLOOKUP(RIGHT(B12,8), 'Điểm bài tập lớn'!$B$3:$D$16, 3, FALSE)</f>
        <v>1.2</v>
      </c>
      <c r="H12" s="10">
        <f>VLOOKUP(RIGHT(B12,8), 'Điểm lý thuyết'!$B$3:$D$16, 3, FALSE)</f>
        <v>7.5</v>
      </c>
      <c r="I12" s="10">
        <f t="shared" si="1"/>
        <v>7.1</v>
      </c>
      <c r="J12" s="18">
        <f>ROUND(IF(OR(G12=0, VALUE(LEFT(B12,1))&gt;2), 0, I12 + VLOOKUP(VALUE(LEFT(B12,1)), 'Các bảng tham chiếu &amp; Thống kê'!$E$3:$F$5, 2, FALSE)), 1)</f>
        <v>8.1</v>
      </c>
      <c r="K12" s="19" t="str">
        <f>VLOOKUP(J12, 'Các bảng tham chiếu &amp; Thống kê'!$A$3:$C$10, 2, TRUE)</f>
        <v>B+</v>
      </c>
    </row>
    <row r="13">
      <c r="A13" s="8">
        <v>7.0</v>
      </c>
      <c r="B13" s="8" t="s">
        <v>61</v>
      </c>
      <c r="C13" s="13" t="str">
        <f>VLOOKUP(RIGHT(B13,8), 'Các bảng tham chiếu &amp; Thống kê'!$B$14:$C$27, 2, FALSE)</f>
        <v>Lê Minh Thông</v>
      </c>
      <c r="D13" s="16">
        <f>VLOOKUP(RIGHT(B13,8), 'Điểm thực hành các buổi'!$B$3:$F$16, 3, FALSE)</f>
        <v>0.4</v>
      </c>
      <c r="E13" s="16">
        <f>VLOOKUP(RIGHT(B13,8), 'Điểm thực hành các buổi'!$B$3:$F$16, 4, FALSE)</f>
        <v>0.4</v>
      </c>
      <c r="F13" s="16">
        <f>VLOOKUP(RIGHT(B13,8), 'Điểm thực hành các buổi'!$B$3:$F$16, 5, FALSE)</f>
        <v>0.4</v>
      </c>
      <c r="G13" s="16">
        <f>VLOOKUP(RIGHT(B13,8), 'Điểm bài tập lớn'!$B$3:$D$16, 3, FALSE)</f>
        <v>1</v>
      </c>
      <c r="H13" s="10">
        <f>VLOOKUP(RIGHT(B13,8), 'Điểm lý thuyết'!$B$3:$D$16, 3, FALSE)</f>
        <v>5.3</v>
      </c>
      <c r="I13" s="10">
        <f t="shared" si="1"/>
        <v>5.4</v>
      </c>
      <c r="J13" s="18">
        <f>ROUND(IF(OR(G13=0, VALUE(LEFT(B13,1))&gt;2), 0, I13 + VLOOKUP(VALUE(LEFT(B13,1)), 'Các bảng tham chiếu &amp; Thống kê'!$E$3:$F$5, 2, FALSE)), 1)</f>
        <v>6.4</v>
      </c>
      <c r="K13" s="19" t="str">
        <f>VLOOKUP(J13, 'Các bảng tham chiếu &amp; Thống kê'!$A$3:$C$10, 2, TRUE)</f>
        <v>C</v>
      </c>
    </row>
    <row r="14">
      <c r="A14" s="8">
        <v>8.0</v>
      </c>
      <c r="B14" s="8" t="s">
        <v>62</v>
      </c>
      <c r="C14" s="13" t="str">
        <f>VLOOKUP(RIGHT(B14,8), 'Các bảng tham chiếu &amp; Thống kê'!$B$14:$C$27, 2, FALSE)</f>
        <v>Huỳnh Thị Diễm</v>
      </c>
      <c r="D14" s="16">
        <f>VLOOKUP(RIGHT(B14,8), 'Điểm thực hành các buổi'!$B$3:$F$16, 3, FALSE)</f>
        <v>0.45</v>
      </c>
      <c r="E14" s="16">
        <f>VLOOKUP(RIGHT(B14,8), 'Điểm thực hành các buổi'!$B$3:$F$16, 4, FALSE)</f>
        <v>0.4</v>
      </c>
      <c r="F14" s="16">
        <f>VLOOKUP(RIGHT(B14,8), 'Điểm thực hành các buổi'!$B$3:$F$16, 5, FALSE)</f>
        <v>0.45</v>
      </c>
      <c r="G14" s="16">
        <f>VLOOKUP(RIGHT(B14,8), 'Điểm bài tập lớn'!$B$3:$D$16, 3, FALSE)</f>
        <v>0</v>
      </c>
      <c r="H14" s="10">
        <f>VLOOKUP(RIGHT(B14,8), 'Điểm lý thuyết'!$B$3:$D$16, 3, FALSE)</f>
        <v>6.8</v>
      </c>
      <c r="I14" s="10">
        <f t="shared" si="1"/>
        <v>5.4</v>
      </c>
      <c r="J14" s="18">
        <f>ROUND(IF(OR(G14=0, VALUE(LEFT(B14,1))&gt;2), 0, I14 + VLOOKUP(VALUE(LEFT(B14,1)), 'Các bảng tham chiếu &amp; Thống kê'!$E$3:$F$5, 2, FALSE)), 1)</f>
        <v>0</v>
      </c>
      <c r="K14" s="19" t="str">
        <f>VLOOKUP(J14, 'Các bảng tham chiếu &amp; Thống kê'!$A$3:$C$10, 2, TRUE)</f>
        <v>F</v>
      </c>
    </row>
    <row r="15">
      <c r="A15" s="8">
        <v>9.0</v>
      </c>
      <c r="B15" s="8" t="s">
        <v>63</v>
      </c>
      <c r="C15" s="13" t="str">
        <f>VLOOKUP(RIGHT(B15,8), 'Các bảng tham chiếu &amp; Thống kê'!$B$14:$C$27, 2, FALSE)</f>
        <v>Trần Thanh Nguyên</v>
      </c>
      <c r="D15" s="16">
        <f>VLOOKUP(RIGHT(B15,8), 'Điểm thực hành các buổi'!$B$3:$F$16, 3, FALSE)</f>
        <v>0.45</v>
      </c>
      <c r="E15" s="16">
        <f>VLOOKUP(RIGHT(B15,8), 'Điểm thực hành các buổi'!$B$3:$F$16, 4, FALSE)</f>
        <v>0.4</v>
      </c>
      <c r="F15" s="16">
        <f>VLOOKUP(RIGHT(B15,8), 'Điểm thực hành các buổi'!$B$3:$F$16, 5, FALSE)</f>
        <v>0.4</v>
      </c>
      <c r="G15" s="16">
        <f>VLOOKUP(RIGHT(B15,8), 'Điểm bài tập lớn'!$B$3:$D$16, 3, FALSE)</f>
        <v>0.75</v>
      </c>
      <c r="H15" s="10">
        <f>VLOOKUP(RIGHT(B15,8), 'Điểm lý thuyết'!$B$3:$D$16, 3, FALSE)</f>
        <v>6.3</v>
      </c>
      <c r="I15" s="10">
        <f t="shared" si="1"/>
        <v>5.8</v>
      </c>
      <c r="J15" s="18">
        <f>ROUND(IF(OR(G15=0, VALUE(LEFT(B15,1))&gt;2), 0, I15 + VLOOKUP(VALUE(LEFT(B15,1)), 'Các bảng tham chiếu &amp; Thống kê'!$E$3:$F$5, 2, FALSE)), 1)</f>
        <v>6.8</v>
      </c>
      <c r="K15" s="19" t="str">
        <f>VLOOKUP(J15, 'Các bảng tham chiếu &amp; Thống kê'!$A$3:$C$10, 2, TRUE)</f>
        <v>C+</v>
      </c>
    </row>
    <row r="16">
      <c r="A16" s="8">
        <v>10.0</v>
      </c>
      <c r="B16" s="8" t="s">
        <v>65</v>
      </c>
      <c r="C16" s="13" t="str">
        <f>VLOOKUP(RIGHT(B16,8), 'Các bảng tham chiếu &amp; Thống kê'!$B$14:$C$27, 2, FALSE)</f>
        <v>Nguyễn Thị Đào</v>
      </c>
      <c r="D16" s="16">
        <f>VLOOKUP(RIGHT(B16,8), 'Điểm thực hành các buổi'!$B$3:$F$16, 3, FALSE)</f>
        <v>0.3</v>
      </c>
      <c r="E16" s="16">
        <f>VLOOKUP(RIGHT(B16,8), 'Điểm thực hành các buổi'!$B$3:$F$16, 4, FALSE)</f>
        <v>0.5</v>
      </c>
      <c r="F16" s="16">
        <f>VLOOKUP(RIGHT(B16,8), 'Điểm thực hành các buổi'!$B$3:$F$16, 5, FALSE)</f>
        <v>0.45</v>
      </c>
      <c r="G16" s="16">
        <f>VLOOKUP(RIGHT(B16,8), 'Điểm bài tập lớn'!$B$3:$D$16, 3, FALSE)</f>
        <v>0.3</v>
      </c>
      <c r="H16" s="10">
        <f>VLOOKUP(RIGHT(B16,8), 'Điểm lý thuyết'!$B$3:$D$16, 3, FALSE)</f>
        <v>8.3</v>
      </c>
      <c r="I16" s="10">
        <f t="shared" si="1"/>
        <v>6.5</v>
      </c>
      <c r="J16" s="18">
        <f>ROUND(IF(OR(G16=0, VALUE(LEFT(B16,1))&gt;2), 0, I16 + VLOOKUP(VALUE(LEFT(B16,1)), 'Các bảng tham chiếu &amp; Thống kê'!$E$3:$F$5, 2, FALSE)), 1)</f>
        <v>7</v>
      </c>
      <c r="K16" s="19" t="str">
        <f>VLOOKUP(J16, 'Các bảng tham chiếu &amp; Thống kê'!$A$3:$C$10, 2, TRUE)</f>
        <v>B</v>
      </c>
    </row>
    <row r="17">
      <c r="A17" s="8">
        <v>11.0</v>
      </c>
      <c r="B17" s="8" t="s">
        <v>72</v>
      </c>
      <c r="C17" s="13" t="str">
        <f>VLOOKUP(RIGHT(B17,8), 'Các bảng tham chiếu &amp; Thống kê'!$B$14:$C$27, 2, FALSE)</f>
        <v>Nguyễn Chí Thanh</v>
      </c>
      <c r="D17" s="16">
        <f>VLOOKUP(RIGHT(B17,8), 'Điểm thực hành các buổi'!$B$3:$F$16, 3, FALSE)</f>
        <v>0.4</v>
      </c>
      <c r="E17" s="16">
        <f>VLOOKUP(RIGHT(B17,8), 'Điểm thực hành các buổi'!$B$3:$F$16, 4, FALSE)</f>
        <v>0.45</v>
      </c>
      <c r="F17" s="16">
        <f>VLOOKUP(RIGHT(B17,8), 'Điểm thực hành các buổi'!$B$3:$F$16, 5, FALSE)</f>
        <v>0.4</v>
      </c>
      <c r="G17" s="16">
        <f>VLOOKUP(RIGHT(B17,8), 'Điểm bài tập lớn'!$B$3:$D$16, 3, FALSE)</f>
        <v>0.3</v>
      </c>
      <c r="H17" s="10">
        <f>VLOOKUP(RIGHT(B17,8), 'Điểm lý thuyết'!$B$3:$D$16, 3, FALSE)</f>
        <v>-3</v>
      </c>
      <c r="I17" s="10">
        <f t="shared" si="1"/>
        <v>0</v>
      </c>
      <c r="J17" s="18">
        <f>ROUND(IF(OR(G17=0, VALUE(LEFT(B17,1))&gt;2), 0, I17 + VLOOKUP(VALUE(LEFT(B17,1)), 'Các bảng tham chiếu &amp; Thống kê'!$E$3:$F$5, 2, FALSE)), 1)</f>
        <v>0</v>
      </c>
      <c r="K17" s="19" t="str">
        <f>VLOOKUP(J17, 'Các bảng tham chiếu &amp; Thống kê'!$A$3:$C$10, 2, TRUE)</f>
        <v>F</v>
      </c>
    </row>
    <row r="18">
      <c r="A18" s="8">
        <v>12.0</v>
      </c>
      <c r="B18" s="8" t="s">
        <v>75</v>
      </c>
      <c r="C18" s="13" t="str">
        <f>VLOOKUP(RIGHT(B18,8), 'Các bảng tham chiếu &amp; Thống kê'!$B$14:$C$27, 2, FALSE)</f>
        <v>Nguyễn Hải Anh</v>
      </c>
      <c r="D18" s="16">
        <f>VLOOKUP(RIGHT(B18,8), 'Điểm thực hành các buổi'!$B$3:$F$16, 3, FALSE)</f>
        <v>0.5</v>
      </c>
      <c r="E18" s="16">
        <f>VLOOKUP(RIGHT(B18,8), 'Điểm thực hành các buổi'!$B$3:$F$16, 4, FALSE)</f>
        <v>0.5</v>
      </c>
      <c r="F18" s="16">
        <f>VLOOKUP(RIGHT(B18,8), 'Điểm thực hành các buổi'!$B$3:$F$16, 5, FALSE)</f>
        <v>0.45</v>
      </c>
      <c r="G18" s="16">
        <f>VLOOKUP(RIGHT(B18,8), 'Điểm bài tập lớn'!$B$3:$D$16, 3, FALSE)</f>
        <v>1.5</v>
      </c>
      <c r="H18" s="10">
        <f>VLOOKUP(RIGHT(B18,8), 'Điểm lý thuyết'!$B$3:$D$16, 3, FALSE)</f>
        <v>7</v>
      </c>
      <c r="I18" s="10">
        <f t="shared" si="1"/>
        <v>7.2</v>
      </c>
      <c r="J18" s="18">
        <f>ROUND(IF(OR(G18=0, VALUE(LEFT(B18,1))&gt;2), 0, I18 + VLOOKUP(VALUE(LEFT(B18,1)), 'Các bảng tham chiếu &amp; Thống kê'!$E$3:$F$5, 2, FALSE)), 1)</f>
        <v>7.5</v>
      </c>
      <c r="K18" s="19" t="str">
        <f>VLOOKUP(J18, 'Các bảng tham chiếu &amp; Thống kê'!$A$3:$C$10, 2, TRUE)</f>
        <v>B</v>
      </c>
    </row>
    <row r="19">
      <c r="A19" s="8">
        <v>13.0</v>
      </c>
      <c r="B19" s="8" t="s">
        <v>73</v>
      </c>
      <c r="C19" s="13" t="str">
        <f>VLOOKUP(RIGHT(B19,8), 'Các bảng tham chiếu &amp; Thống kê'!$B$14:$C$27, 2, FALSE)</f>
        <v>Trần Nam Dương</v>
      </c>
      <c r="D19" s="16">
        <f>VLOOKUP(RIGHT(B19,8), 'Điểm thực hành các buổi'!$B$3:$F$16, 3, FALSE)</f>
        <v>0.4</v>
      </c>
      <c r="E19" s="16">
        <f>VLOOKUP(RIGHT(B19,8), 'Điểm thực hành các buổi'!$B$3:$F$16, 4, FALSE)</f>
        <v>0.4</v>
      </c>
      <c r="F19" s="16">
        <f>VLOOKUP(RIGHT(B19,8), 'Điểm thực hành các buổi'!$B$3:$F$16, 5, FALSE)</f>
        <v>0.35</v>
      </c>
      <c r="G19" s="16">
        <f>VLOOKUP(RIGHT(B19,8), 'Điểm bài tập lớn'!$B$3:$D$16, 3, FALSE)</f>
        <v>1.35</v>
      </c>
      <c r="H19" s="10">
        <f>VLOOKUP(RIGHT(B19,8), 'Điểm lý thuyết'!$B$3:$D$16, 3, FALSE)</f>
        <v>-3</v>
      </c>
      <c r="I19" s="10">
        <f t="shared" si="1"/>
        <v>0</v>
      </c>
      <c r="J19" s="18">
        <f>ROUND(IF(OR(G19=0, VALUE(LEFT(B19,1))&gt;2), 0, I19 + VLOOKUP(VALUE(LEFT(B19,1)), 'Các bảng tham chiếu &amp; Thống kê'!$E$3:$F$5, 2, FALSE)), 1)</f>
        <v>0</v>
      </c>
      <c r="K19" s="19" t="str">
        <f>VLOOKUP(J19, 'Các bảng tham chiếu &amp; Thống kê'!$A$3:$C$10, 2, TRUE)</f>
        <v>F</v>
      </c>
    </row>
    <row r="20">
      <c r="A20" s="8">
        <v>14.0</v>
      </c>
      <c r="B20" s="8" t="s">
        <v>74</v>
      </c>
      <c r="C20" s="13" t="str">
        <f>VLOOKUP(RIGHT(B20,8), 'Các bảng tham chiếu &amp; Thống kê'!$B$14:$C$27, 2, FALSE)</f>
        <v>Nguyễn Duy Khánh</v>
      </c>
      <c r="D20" s="16">
        <f>VLOOKUP(RIGHT(B20,8), 'Điểm thực hành các buổi'!$B$3:$F$16, 3, FALSE)</f>
        <v>0.35</v>
      </c>
      <c r="E20" s="16">
        <f>VLOOKUP(RIGHT(B20,8), 'Điểm thực hành các buổi'!$B$3:$F$16, 4, FALSE)</f>
        <v>0.4</v>
      </c>
      <c r="F20" s="16">
        <f>VLOOKUP(RIGHT(B20,8), 'Điểm thực hành các buổi'!$B$3:$F$16, 5, FALSE)</f>
        <v>0</v>
      </c>
      <c r="G20" s="16">
        <f>VLOOKUP(RIGHT(B20,8), 'Điểm bài tập lớn'!$B$3:$D$16, 3, FALSE)</f>
        <v>0.85</v>
      </c>
      <c r="H20" s="10">
        <f>VLOOKUP(RIGHT(B20,8), 'Điểm lý thuyết'!$B$3:$D$16, 3, FALSE)</f>
        <v>6.5</v>
      </c>
      <c r="I20" s="10">
        <f t="shared" si="1"/>
        <v>5.5</v>
      </c>
      <c r="J20" s="18">
        <f>ROUND(IF(OR(G20=0, VALUE(LEFT(B20,1))&gt;2), 0, I20 + VLOOKUP(VALUE(LEFT(B20,1)), 'Các bảng tham chiếu &amp; Thống kê'!$E$3:$F$5, 2, FALSE)), 1)</f>
        <v>6.5</v>
      </c>
      <c r="K20" s="19" t="str">
        <f>VLOOKUP(J20, 'Các bảng tham chiếu &amp; Thống kê'!$A$3:$C$10, 2, TRUE)</f>
        <v>C+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22.0"/>
    <col customWidth="1" min="4" max="6" width="13.0"/>
    <col customWidth="1" min="7" max="26" width="8.71"/>
  </cols>
  <sheetData>
    <row r="1">
      <c r="A1" s="2" t="s">
        <v>0</v>
      </c>
      <c r="B1" s="3"/>
      <c r="C1" s="3"/>
      <c r="D1" s="3"/>
      <c r="E1" s="3"/>
      <c r="F1" s="5"/>
    </row>
    <row r="2">
      <c r="A2" s="11" t="s">
        <v>4</v>
      </c>
      <c r="B2" s="11" t="s">
        <v>6</v>
      </c>
      <c r="C2" s="11" t="s">
        <v>11</v>
      </c>
      <c r="D2" s="11" t="s">
        <v>13</v>
      </c>
      <c r="E2" s="11" t="s">
        <v>14</v>
      </c>
      <c r="F2" s="11" t="s">
        <v>15</v>
      </c>
    </row>
    <row r="3">
      <c r="A3" s="8">
        <v>1.0</v>
      </c>
      <c r="B3" s="8" t="s">
        <v>8</v>
      </c>
      <c r="C3" s="13" t="s">
        <v>20</v>
      </c>
      <c r="D3" s="16">
        <v>0.45</v>
      </c>
      <c r="E3" s="16">
        <v>0.25</v>
      </c>
      <c r="F3" s="16">
        <v>0.3</v>
      </c>
    </row>
    <row r="4">
      <c r="A4" s="8">
        <v>2.0</v>
      </c>
      <c r="B4" s="8" t="s">
        <v>10</v>
      </c>
      <c r="C4" s="13" t="s">
        <v>12</v>
      </c>
      <c r="D4" s="16">
        <v>0.5</v>
      </c>
      <c r="E4" s="16">
        <v>0.35</v>
      </c>
      <c r="F4" s="16">
        <v>0.4</v>
      </c>
    </row>
    <row r="5">
      <c r="A5" s="8">
        <v>3.0</v>
      </c>
      <c r="B5" s="8" t="s">
        <v>17</v>
      </c>
      <c r="C5" s="13" t="s">
        <v>18</v>
      </c>
      <c r="D5" s="16">
        <v>0.25</v>
      </c>
      <c r="E5" s="16">
        <v>0.25</v>
      </c>
      <c r="F5" s="16">
        <v>0.3</v>
      </c>
    </row>
    <row r="6">
      <c r="A6" s="8">
        <v>4.0</v>
      </c>
      <c r="B6" s="8" t="s">
        <v>19</v>
      </c>
      <c r="C6" s="13" t="s">
        <v>21</v>
      </c>
      <c r="D6" s="16">
        <v>0.4</v>
      </c>
      <c r="E6" s="16">
        <v>0.25</v>
      </c>
      <c r="F6" s="16">
        <v>0.35</v>
      </c>
    </row>
    <row r="7">
      <c r="A7" s="8">
        <v>5.0</v>
      </c>
      <c r="B7" s="8" t="s">
        <v>24</v>
      </c>
      <c r="C7" s="13" t="s">
        <v>25</v>
      </c>
      <c r="D7" s="16">
        <v>0.45</v>
      </c>
      <c r="E7" s="16">
        <v>0.4</v>
      </c>
      <c r="F7" s="16">
        <v>0.35</v>
      </c>
    </row>
    <row r="8">
      <c r="A8" s="8">
        <v>6.0</v>
      </c>
      <c r="B8" s="8" t="s">
        <v>26</v>
      </c>
      <c r="C8" s="13" t="s">
        <v>27</v>
      </c>
      <c r="D8" s="16">
        <v>0.4</v>
      </c>
      <c r="E8" s="16">
        <v>0.45</v>
      </c>
      <c r="F8" s="16">
        <v>0.5</v>
      </c>
    </row>
    <row r="9">
      <c r="A9" s="8">
        <v>7.0</v>
      </c>
      <c r="B9" s="8" t="s">
        <v>31</v>
      </c>
      <c r="C9" s="13" t="s">
        <v>33</v>
      </c>
      <c r="D9" s="16">
        <v>0.4</v>
      </c>
      <c r="E9" s="16">
        <v>0.4</v>
      </c>
      <c r="F9" s="16">
        <v>0.4</v>
      </c>
    </row>
    <row r="10">
      <c r="A10" s="8">
        <v>8.0</v>
      </c>
      <c r="B10" s="8" t="s">
        <v>36</v>
      </c>
      <c r="C10" s="13" t="s">
        <v>37</v>
      </c>
      <c r="D10" s="16">
        <v>0.45</v>
      </c>
      <c r="E10" s="16">
        <v>0.4</v>
      </c>
      <c r="F10" s="16">
        <v>0.45</v>
      </c>
    </row>
    <row r="11">
      <c r="A11" s="8">
        <v>9.0</v>
      </c>
      <c r="B11" s="8" t="s">
        <v>38</v>
      </c>
      <c r="C11" s="13" t="s">
        <v>39</v>
      </c>
      <c r="D11" s="16">
        <v>0.45</v>
      </c>
      <c r="E11" s="16">
        <v>0.4</v>
      </c>
      <c r="F11" s="16">
        <v>0.4</v>
      </c>
    </row>
    <row r="12">
      <c r="A12" s="8">
        <v>10.0</v>
      </c>
      <c r="B12" s="8" t="s">
        <v>40</v>
      </c>
      <c r="C12" s="13" t="s">
        <v>42</v>
      </c>
      <c r="D12" s="16">
        <v>0.3</v>
      </c>
      <c r="E12" s="16">
        <v>0.5</v>
      </c>
      <c r="F12" s="16">
        <v>0.45</v>
      </c>
    </row>
    <row r="13">
      <c r="A13" s="8">
        <v>11.0</v>
      </c>
      <c r="B13" s="8" t="s">
        <v>48</v>
      </c>
      <c r="C13" s="13" t="s">
        <v>49</v>
      </c>
      <c r="D13" s="16">
        <v>0.4</v>
      </c>
      <c r="E13" s="16">
        <v>0.45</v>
      </c>
      <c r="F13" s="16">
        <v>0.4</v>
      </c>
    </row>
    <row r="14">
      <c r="A14" s="8">
        <v>12.0</v>
      </c>
      <c r="B14" s="8" t="s">
        <v>50</v>
      </c>
      <c r="C14" s="13" t="s">
        <v>51</v>
      </c>
      <c r="D14" s="16">
        <v>0.5</v>
      </c>
      <c r="E14" s="16">
        <v>0.5</v>
      </c>
      <c r="F14" s="16">
        <v>0.45</v>
      </c>
    </row>
    <row r="15">
      <c r="A15" s="8">
        <v>13.0</v>
      </c>
      <c r="B15" s="8" t="s">
        <v>52</v>
      </c>
      <c r="C15" s="13" t="s">
        <v>53</v>
      </c>
      <c r="D15" s="16">
        <v>0.4</v>
      </c>
      <c r="E15" s="16">
        <v>0.4</v>
      </c>
      <c r="F15" s="16">
        <v>0.35</v>
      </c>
    </row>
    <row r="16">
      <c r="A16" s="8">
        <v>14.0</v>
      </c>
      <c r="B16" s="8" t="s">
        <v>54</v>
      </c>
      <c r="C16" s="13" t="s">
        <v>55</v>
      </c>
      <c r="D16" s="16">
        <v>0.35</v>
      </c>
      <c r="E16" s="16">
        <v>0.4</v>
      </c>
      <c r="F16" s="1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22.0"/>
    <col customWidth="1" min="4" max="4" width="15.0"/>
    <col customWidth="1" min="5" max="26" width="8.71"/>
  </cols>
  <sheetData>
    <row r="1">
      <c r="A1" s="2" t="s">
        <v>2</v>
      </c>
      <c r="B1" s="3"/>
      <c r="C1" s="3"/>
      <c r="D1" s="5"/>
    </row>
    <row r="2">
      <c r="A2" s="11" t="s">
        <v>4</v>
      </c>
      <c r="B2" s="11" t="s">
        <v>6</v>
      </c>
      <c r="C2" s="11" t="s">
        <v>11</v>
      </c>
      <c r="D2" s="11" t="s">
        <v>16</v>
      </c>
    </row>
    <row r="3">
      <c r="A3" s="8">
        <v>1.0</v>
      </c>
      <c r="B3" s="8" t="s">
        <v>8</v>
      </c>
      <c r="C3" s="13" t="s">
        <v>20</v>
      </c>
      <c r="D3" s="16">
        <v>0.5</v>
      </c>
    </row>
    <row r="4">
      <c r="A4" s="8">
        <v>2.0</v>
      </c>
      <c r="B4" s="8" t="s">
        <v>10</v>
      </c>
      <c r="C4" s="13" t="s">
        <v>12</v>
      </c>
      <c r="D4" s="16">
        <v>1.0</v>
      </c>
    </row>
    <row r="5">
      <c r="A5" s="8">
        <v>3.0</v>
      </c>
      <c r="B5" s="8" t="s">
        <v>17</v>
      </c>
      <c r="C5" s="13" t="s">
        <v>18</v>
      </c>
      <c r="D5" s="16">
        <v>0.5</v>
      </c>
    </row>
    <row r="6">
      <c r="A6" s="8">
        <v>4.0</v>
      </c>
      <c r="B6" s="8" t="s">
        <v>19</v>
      </c>
      <c r="C6" s="13" t="s">
        <v>21</v>
      </c>
      <c r="D6" s="16">
        <v>1.0</v>
      </c>
    </row>
    <row r="7">
      <c r="A7" s="8">
        <v>5.0</v>
      </c>
      <c r="B7" s="8" t="s">
        <v>24</v>
      </c>
      <c r="C7" s="13" t="s">
        <v>25</v>
      </c>
      <c r="D7" s="16">
        <v>0.75</v>
      </c>
    </row>
    <row r="8">
      <c r="A8" s="8">
        <v>6.0</v>
      </c>
      <c r="B8" s="8" t="s">
        <v>26</v>
      </c>
      <c r="C8" s="13" t="s">
        <v>27</v>
      </c>
      <c r="D8" s="16">
        <v>1.2</v>
      </c>
    </row>
    <row r="9">
      <c r="A9" s="8">
        <v>7.0</v>
      </c>
      <c r="B9" s="8" t="s">
        <v>31</v>
      </c>
      <c r="C9" s="13" t="s">
        <v>33</v>
      </c>
      <c r="D9" s="16">
        <v>1.0</v>
      </c>
    </row>
    <row r="10">
      <c r="A10" s="8">
        <v>8.0</v>
      </c>
      <c r="B10" s="8" t="s">
        <v>36</v>
      </c>
      <c r="C10" s="13" t="s">
        <v>37</v>
      </c>
      <c r="D10" s="16">
        <v>0.0</v>
      </c>
    </row>
    <row r="11">
      <c r="A11" s="8">
        <v>9.0</v>
      </c>
      <c r="B11" s="8" t="s">
        <v>38</v>
      </c>
      <c r="C11" s="13" t="s">
        <v>39</v>
      </c>
      <c r="D11" s="16">
        <v>0.75</v>
      </c>
    </row>
    <row r="12">
      <c r="A12" s="8">
        <v>10.0</v>
      </c>
      <c r="B12" s="8" t="s">
        <v>40</v>
      </c>
      <c r="C12" s="13" t="s">
        <v>42</v>
      </c>
      <c r="D12" s="16">
        <v>0.3</v>
      </c>
    </row>
    <row r="13">
      <c r="A13" s="8">
        <v>11.0</v>
      </c>
      <c r="B13" s="8" t="s">
        <v>48</v>
      </c>
      <c r="C13" s="13" t="s">
        <v>49</v>
      </c>
      <c r="D13" s="16">
        <v>0.3</v>
      </c>
    </row>
    <row r="14">
      <c r="A14" s="8">
        <v>12.0</v>
      </c>
      <c r="B14" s="8" t="s">
        <v>50</v>
      </c>
      <c r="C14" s="13" t="s">
        <v>51</v>
      </c>
      <c r="D14" s="16">
        <v>1.5</v>
      </c>
    </row>
    <row r="15">
      <c r="A15" s="8">
        <v>13.0</v>
      </c>
      <c r="B15" s="8" t="s">
        <v>52</v>
      </c>
      <c r="C15" s="13" t="s">
        <v>53</v>
      </c>
      <c r="D15" s="16">
        <v>1.35</v>
      </c>
    </row>
    <row r="16">
      <c r="A16" s="8">
        <v>14.0</v>
      </c>
      <c r="B16" s="8" t="s">
        <v>54</v>
      </c>
      <c r="C16" s="13" t="s">
        <v>55</v>
      </c>
      <c r="D16" s="16">
        <v>0.85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22.0"/>
    <col customWidth="1" min="4" max="4" width="18.0"/>
    <col customWidth="1" min="5" max="26" width="8.71"/>
  </cols>
  <sheetData>
    <row r="1">
      <c r="A1" s="4" t="s">
        <v>3</v>
      </c>
      <c r="B1" s="3"/>
      <c r="C1" s="3"/>
      <c r="D1" s="5"/>
    </row>
    <row r="2">
      <c r="A2" s="7" t="s">
        <v>4</v>
      </c>
      <c r="B2" s="7" t="s">
        <v>6</v>
      </c>
      <c r="C2" s="7" t="s">
        <v>7</v>
      </c>
      <c r="D2" s="7" t="s">
        <v>3</v>
      </c>
    </row>
    <row r="3">
      <c r="A3" s="8">
        <v>1.0</v>
      </c>
      <c r="B3" s="8" t="s">
        <v>8</v>
      </c>
      <c r="C3" s="9" t="s">
        <v>9</v>
      </c>
      <c r="D3" s="10">
        <v>4.2</v>
      </c>
    </row>
    <row r="4">
      <c r="A4" s="12">
        <v>2.0</v>
      </c>
      <c r="B4" s="8" t="s">
        <v>10</v>
      </c>
      <c r="C4" s="13" t="s">
        <v>12</v>
      </c>
      <c r="D4" s="10">
        <v>5.8</v>
      </c>
    </row>
    <row r="5">
      <c r="A5" s="8">
        <v>3.0</v>
      </c>
      <c r="B5" s="8" t="s">
        <v>17</v>
      </c>
      <c r="C5" s="13" t="s">
        <v>18</v>
      </c>
      <c r="D5" s="10">
        <v>5.8</v>
      </c>
    </row>
    <row r="6">
      <c r="A6" s="8">
        <v>4.0</v>
      </c>
      <c r="B6" s="8" t="s">
        <v>19</v>
      </c>
      <c r="C6" s="13" t="s">
        <v>21</v>
      </c>
      <c r="D6" s="10">
        <v>4.5</v>
      </c>
    </row>
    <row r="7">
      <c r="A7" s="8">
        <v>5.0</v>
      </c>
      <c r="B7" s="8" t="s">
        <v>24</v>
      </c>
      <c r="C7" s="13" t="s">
        <v>25</v>
      </c>
      <c r="D7" s="10">
        <v>5.5</v>
      </c>
    </row>
    <row r="8">
      <c r="A8" s="8">
        <v>6.0</v>
      </c>
      <c r="B8" s="8" t="s">
        <v>26</v>
      </c>
      <c r="C8" s="13" t="s">
        <v>27</v>
      </c>
      <c r="D8" s="10">
        <v>7.5</v>
      </c>
    </row>
    <row r="9">
      <c r="A9" s="8">
        <v>7.0</v>
      </c>
      <c r="B9" s="8" t="s">
        <v>31</v>
      </c>
      <c r="C9" s="13" t="s">
        <v>33</v>
      </c>
      <c r="D9" s="10">
        <v>5.3</v>
      </c>
    </row>
    <row r="10">
      <c r="A10" s="8">
        <v>8.0</v>
      </c>
      <c r="B10" s="8" t="s">
        <v>36</v>
      </c>
      <c r="C10" s="13" t="s">
        <v>37</v>
      </c>
      <c r="D10" s="10">
        <v>6.8</v>
      </c>
    </row>
    <row r="11">
      <c r="A11" s="8">
        <v>9.0</v>
      </c>
      <c r="B11" s="8" t="s">
        <v>38</v>
      </c>
      <c r="C11" s="13" t="s">
        <v>39</v>
      </c>
      <c r="D11" s="10">
        <v>6.3</v>
      </c>
    </row>
    <row r="12">
      <c r="A12" s="8">
        <v>10.0</v>
      </c>
      <c r="B12" s="8" t="s">
        <v>40</v>
      </c>
      <c r="C12" s="13" t="s">
        <v>42</v>
      </c>
      <c r="D12" s="10">
        <v>8.3</v>
      </c>
    </row>
    <row r="13">
      <c r="A13" s="8">
        <v>11.0</v>
      </c>
      <c r="B13" s="8" t="s">
        <v>48</v>
      </c>
      <c r="C13" s="13" t="s">
        <v>49</v>
      </c>
      <c r="D13" s="10">
        <v>-3.0</v>
      </c>
    </row>
    <row r="14">
      <c r="A14" s="8">
        <v>12.0</v>
      </c>
      <c r="B14" s="8" t="s">
        <v>50</v>
      </c>
      <c r="C14" s="13" t="s">
        <v>51</v>
      </c>
      <c r="D14" s="10">
        <v>7.0</v>
      </c>
    </row>
    <row r="15">
      <c r="A15" s="8">
        <v>13.0</v>
      </c>
      <c r="B15" s="8" t="s">
        <v>52</v>
      </c>
      <c r="C15" s="13" t="s">
        <v>53</v>
      </c>
      <c r="D15" s="10">
        <v>-3.0</v>
      </c>
    </row>
    <row r="16">
      <c r="A16" s="8">
        <v>14.0</v>
      </c>
      <c r="B16" s="8" t="s">
        <v>54</v>
      </c>
      <c r="C16" s="13" t="s">
        <v>55</v>
      </c>
      <c r="D16" s="10">
        <v>6.5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2.0"/>
    <col customWidth="1" min="3" max="3" width="22.0"/>
    <col customWidth="1" min="4" max="4" width="12.0"/>
    <col customWidth="1" min="5" max="5" width="40.0"/>
    <col customWidth="1" min="6" max="6" width="22.0"/>
    <col customWidth="1" min="7" max="26" width="8.71"/>
  </cols>
  <sheetData>
    <row r="1">
      <c r="A1" s="22" t="s">
        <v>76</v>
      </c>
      <c r="B1" s="3"/>
      <c r="C1" s="5"/>
      <c r="E1" s="23" t="s">
        <v>77</v>
      </c>
      <c r="F1" s="5"/>
    </row>
    <row r="2">
      <c r="A2" s="24" t="s">
        <v>45</v>
      </c>
      <c r="B2" s="24" t="s">
        <v>46</v>
      </c>
      <c r="C2" s="22" t="s">
        <v>78</v>
      </c>
      <c r="E2" s="25" t="s">
        <v>79</v>
      </c>
      <c r="F2" s="26" t="s">
        <v>80</v>
      </c>
    </row>
    <row r="3">
      <c r="A3" s="8">
        <v>0.0</v>
      </c>
      <c r="B3" s="8" t="s">
        <v>69</v>
      </c>
      <c r="C3" s="27">
        <v>0.0</v>
      </c>
      <c r="E3" s="28">
        <v>0.0</v>
      </c>
      <c r="F3" s="8">
        <v>1.0</v>
      </c>
    </row>
    <row r="4">
      <c r="A4" s="8">
        <v>4.0</v>
      </c>
      <c r="B4" s="8" t="s">
        <v>81</v>
      </c>
      <c r="C4" s="27">
        <v>1.0</v>
      </c>
      <c r="E4" s="28">
        <v>1.0</v>
      </c>
      <c r="F4" s="8">
        <v>0.5</v>
      </c>
    </row>
    <row r="5">
      <c r="A5" s="8">
        <v>5.0</v>
      </c>
      <c r="B5" s="8" t="s">
        <v>66</v>
      </c>
      <c r="C5" s="27">
        <v>1.5</v>
      </c>
      <c r="E5" s="28">
        <v>2.0</v>
      </c>
      <c r="F5" s="8">
        <v>0.25</v>
      </c>
    </row>
    <row r="6">
      <c r="A6" s="8">
        <v>5.5</v>
      </c>
      <c r="B6" s="8" t="s">
        <v>67</v>
      </c>
      <c r="C6" s="27">
        <v>2.0</v>
      </c>
      <c r="E6" s="29"/>
      <c r="F6" s="6"/>
    </row>
    <row r="7">
      <c r="A7" s="8">
        <v>6.5</v>
      </c>
      <c r="B7" s="8" t="s">
        <v>71</v>
      </c>
      <c r="C7" s="27">
        <v>2.5</v>
      </c>
      <c r="E7" s="29"/>
      <c r="F7" s="6"/>
    </row>
    <row r="8">
      <c r="A8" s="8">
        <v>7.0</v>
      </c>
      <c r="B8" s="8" t="s">
        <v>82</v>
      </c>
      <c r="C8" s="27">
        <v>3.0</v>
      </c>
      <c r="E8" s="29"/>
      <c r="F8" s="6"/>
    </row>
    <row r="9">
      <c r="A9" s="8">
        <v>8.0</v>
      </c>
      <c r="B9" s="8" t="s">
        <v>70</v>
      </c>
      <c r="C9" s="27">
        <v>3.5</v>
      </c>
      <c r="E9" s="29"/>
      <c r="F9" s="6"/>
    </row>
    <row r="10">
      <c r="A10" s="8">
        <v>9.0</v>
      </c>
      <c r="B10" s="8" t="s">
        <v>83</v>
      </c>
      <c r="C10" s="27">
        <v>4.0</v>
      </c>
      <c r="E10" s="29"/>
      <c r="F10" s="6"/>
    </row>
    <row r="11">
      <c r="A11" s="6"/>
      <c r="B11" s="6"/>
      <c r="C11" s="30"/>
      <c r="E11" s="29"/>
      <c r="F11" s="6"/>
    </row>
    <row r="12">
      <c r="A12" s="22" t="s">
        <v>84</v>
      </c>
      <c r="B12" s="3"/>
      <c r="C12" s="5"/>
      <c r="E12" s="31" t="s">
        <v>85</v>
      </c>
      <c r="F12" s="5"/>
    </row>
    <row r="13">
      <c r="A13" s="24" t="s">
        <v>4</v>
      </c>
      <c r="B13" s="24" t="s">
        <v>6</v>
      </c>
      <c r="C13" s="22" t="s">
        <v>7</v>
      </c>
      <c r="E13" s="32" t="s">
        <v>46</v>
      </c>
      <c r="F13" s="24" t="s">
        <v>86</v>
      </c>
    </row>
    <row r="14">
      <c r="A14" s="8">
        <v>1.0</v>
      </c>
      <c r="B14" s="8" t="s">
        <v>19</v>
      </c>
      <c r="C14" s="33" t="s">
        <v>21</v>
      </c>
      <c r="D14" s="34"/>
      <c r="E14" s="28" t="s">
        <v>83</v>
      </c>
      <c r="F14" s="35">
        <f>COUNTIF('Tổng hợp điểm'!$K$7:$K$20, E14)</f>
        <v>0</v>
      </c>
    </row>
    <row r="15">
      <c r="A15" s="8">
        <v>2.0</v>
      </c>
      <c r="B15" s="8" t="s">
        <v>36</v>
      </c>
      <c r="C15" s="33" t="s">
        <v>37</v>
      </c>
      <c r="E15" s="28" t="s">
        <v>70</v>
      </c>
      <c r="F15" s="35">
        <f>COUNTIF('Tổng hợp điểm'!$K$7:$K$20, E15)</f>
        <v>1</v>
      </c>
    </row>
    <row r="16">
      <c r="A16" s="8">
        <v>3.0</v>
      </c>
      <c r="B16" s="8" t="s">
        <v>38</v>
      </c>
      <c r="C16" s="33" t="s">
        <v>39</v>
      </c>
      <c r="E16" s="28" t="s">
        <v>82</v>
      </c>
      <c r="F16" s="35">
        <f>COUNTIF('Tổng hợp điểm'!$K$7:$K$20, E16)</f>
        <v>2</v>
      </c>
    </row>
    <row r="17">
      <c r="A17" s="8">
        <v>4.0</v>
      </c>
      <c r="B17" s="8" t="s">
        <v>31</v>
      </c>
      <c r="C17" s="33" t="s">
        <v>33</v>
      </c>
      <c r="E17" s="28" t="s">
        <v>71</v>
      </c>
      <c r="F17" s="35">
        <f>COUNTIF('Tổng hợp điểm'!$K$7:$K$20, E17)</f>
        <v>2</v>
      </c>
    </row>
    <row r="18">
      <c r="A18" s="8">
        <v>5.0</v>
      </c>
      <c r="B18" s="8" t="s">
        <v>24</v>
      </c>
      <c r="C18" s="33" t="s">
        <v>25</v>
      </c>
      <c r="E18" s="28" t="s">
        <v>67</v>
      </c>
      <c r="F18" s="35">
        <f>COUNTIF('Tổng hợp điểm'!$K$7:$K$20, E18)</f>
        <v>5</v>
      </c>
    </row>
    <row r="19">
      <c r="A19" s="8">
        <v>6.0</v>
      </c>
      <c r="B19" s="8" t="s">
        <v>10</v>
      </c>
      <c r="C19" s="33" t="s">
        <v>12</v>
      </c>
      <c r="E19" s="28" t="s">
        <v>66</v>
      </c>
      <c r="F19" s="35">
        <f>COUNTIF('Tổng hợp điểm'!$K$7:$K$20, E19)</f>
        <v>1</v>
      </c>
    </row>
    <row r="20">
      <c r="A20" s="8">
        <v>7.0</v>
      </c>
      <c r="B20" s="8" t="s">
        <v>48</v>
      </c>
      <c r="C20" s="33" t="s">
        <v>49</v>
      </c>
      <c r="E20" s="28" t="s">
        <v>81</v>
      </c>
      <c r="F20" s="35">
        <f>COUNTIF('Tổng hợp điểm'!$K$7:$K$20, E20)</f>
        <v>0</v>
      </c>
    </row>
    <row r="21" ht="15.75" customHeight="1">
      <c r="A21" s="8">
        <v>8.0</v>
      </c>
      <c r="B21" s="8" t="s">
        <v>54</v>
      </c>
      <c r="C21" s="33" t="s">
        <v>55</v>
      </c>
      <c r="E21" s="28" t="s">
        <v>69</v>
      </c>
      <c r="F21" s="35">
        <f>COUNTIF('Tổng hợp điểm'!$K$7:$K$20, E21)</f>
        <v>3</v>
      </c>
    </row>
    <row r="22" ht="15.75" customHeight="1">
      <c r="A22" s="8">
        <v>9.0</v>
      </c>
      <c r="B22" s="8" t="s">
        <v>50</v>
      </c>
      <c r="C22" s="33" t="s">
        <v>51</v>
      </c>
      <c r="E22" s="29"/>
      <c r="F22" s="6"/>
    </row>
    <row r="23" ht="15.75" customHeight="1">
      <c r="A23" s="8">
        <v>10.0</v>
      </c>
      <c r="B23" s="8" t="s">
        <v>17</v>
      </c>
      <c r="C23" s="33" t="s">
        <v>18</v>
      </c>
      <c r="E23" s="31" t="s">
        <v>87</v>
      </c>
      <c r="F23" s="5"/>
    </row>
    <row r="24" ht="15.75" customHeight="1">
      <c r="A24" s="8">
        <v>11.0</v>
      </c>
      <c r="B24" s="8" t="s">
        <v>40</v>
      </c>
      <c r="C24" s="33" t="s">
        <v>42</v>
      </c>
      <c r="E24" s="36" t="s">
        <v>88</v>
      </c>
      <c r="F24" s="37">
        <f>COUNTIFS('Tổng hợp điểm'!$G$7:$G$20, 0) + COUNTIFS('Tổng hợp điểm'!$H$7:$H$20, -3) - COUNTIFS('Tổng hợp điểm'!$G$7:$G$20, 0, 'Tổng hợp điểm'!$H$7:$H$20, -3)</f>
        <v>3</v>
      </c>
    </row>
    <row r="25" ht="15.75" customHeight="1">
      <c r="A25" s="8">
        <v>12.0</v>
      </c>
      <c r="B25" s="8" t="s">
        <v>8</v>
      </c>
      <c r="C25" s="33" t="s">
        <v>20</v>
      </c>
      <c r="E25" s="38" t="s">
        <v>89</v>
      </c>
      <c r="F25" s="6">
        <f>COUNTIFS('Tổng hợp điểm'!$J$7:$J$20, "&gt;=7", 'Tổng hợp điểm'!$K$7:$K$20, "B+") + COUNTIFS('Tổng hợp điểm'!$J$7:$J$20, "&gt;=7", 'Tổng hợp điểm'!$K$7:$K$20, "A")</f>
        <v>1</v>
      </c>
    </row>
    <row r="26" ht="15.75" customHeight="1">
      <c r="A26" s="8">
        <v>13.0</v>
      </c>
      <c r="B26" s="8" t="s">
        <v>26</v>
      </c>
      <c r="C26" s="33" t="s">
        <v>27</v>
      </c>
      <c r="E26" s="36" t="s">
        <v>90</v>
      </c>
      <c r="F26" s="37">
        <f>COUNTIF('Tổng hợp điểm'!$B$7:$B$20, "3*") + COUNTIF('Tổng hợp điểm'!$B$7:$B$20, "4*") + COUNTIF('Tổng hợp điểm'!$B$7:$B$20, "5*")</f>
        <v>2</v>
      </c>
    </row>
    <row r="27" ht="15.75" customHeight="1">
      <c r="A27" s="8">
        <v>14.0</v>
      </c>
      <c r="B27" s="8" t="s">
        <v>52</v>
      </c>
      <c r="C27" s="33" t="s">
        <v>53</v>
      </c>
      <c r="E27" s="29"/>
      <c r="F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E1:F1"/>
    <mergeCell ref="A12:C12"/>
    <mergeCell ref="E12:F12"/>
    <mergeCell ref="E23:F2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6" width="13.0"/>
    <col customWidth="1" min="7" max="7" width="15.0"/>
    <col customWidth="1" min="8" max="8" width="12.0"/>
    <col customWidth="1" min="9" max="9" width="13.0"/>
    <col customWidth="1" min="10" max="10" width="27.0"/>
    <col customWidth="1" min="11" max="11" width="12.0"/>
    <col customWidth="1" min="12" max="26" width="8.71"/>
  </cols>
  <sheetData>
    <row r="1">
      <c r="A1" s="1" t="s">
        <v>64</v>
      </c>
      <c r="B1" s="3"/>
      <c r="C1" s="3"/>
      <c r="D1" s="3"/>
      <c r="E1" s="3"/>
      <c r="F1" s="3"/>
      <c r="G1" s="3"/>
      <c r="H1" s="3"/>
      <c r="I1" s="3"/>
      <c r="J1" s="3"/>
      <c r="K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>
      <c r="A3" s="20" t="s">
        <v>4</v>
      </c>
      <c r="B3" s="20" t="s">
        <v>6</v>
      </c>
      <c r="C3" s="20" t="s">
        <v>7</v>
      </c>
      <c r="D3" s="20" t="s">
        <v>13</v>
      </c>
      <c r="E3" s="20" t="s">
        <v>14</v>
      </c>
      <c r="F3" s="20" t="s">
        <v>15</v>
      </c>
      <c r="G3" s="20" t="s">
        <v>41</v>
      </c>
      <c r="H3" s="20" t="s">
        <v>43</v>
      </c>
      <c r="I3" s="20" t="s">
        <v>44</v>
      </c>
      <c r="J3" s="20" t="s">
        <v>45</v>
      </c>
      <c r="K3" s="20" t="s">
        <v>46</v>
      </c>
    </row>
    <row r="4">
      <c r="A4" s="6">
        <v>1.0</v>
      </c>
      <c r="B4" s="6" t="s">
        <v>47</v>
      </c>
      <c r="C4" s="6" t="s">
        <v>20</v>
      </c>
      <c r="D4" s="6">
        <v>0.45</v>
      </c>
      <c r="E4" s="6">
        <v>0.25</v>
      </c>
      <c r="F4" s="6">
        <v>0.3</v>
      </c>
      <c r="G4" s="6">
        <v>0.5</v>
      </c>
      <c r="H4" s="6">
        <v>4.2</v>
      </c>
      <c r="I4" s="6">
        <v>4.0</v>
      </c>
      <c r="J4" s="6">
        <v>5.0</v>
      </c>
      <c r="K4" s="6" t="s">
        <v>66</v>
      </c>
    </row>
    <row r="5">
      <c r="A5" s="6">
        <v>2.0</v>
      </c>
      <c r="B5" s="6" t="s">
        <v>56</v>
      </c>
      <c r="C5" s="6" t="s">
        <v>12</v>
      </c>
      <c r="D5" s="6">
        <v>0.5</v>
      </c>
      <c r="E5" s="6">
        <v>0.35</v>
      </c>
      <c r="F5" s="6">
        <v>0.4</v>
      </c>
      <c r="G5" s="6">
        <v>1.0</v>
      </c>
      <c r="H5" s="6">
        <v>5.8</v>
      </c>
      <c r="I5" s="6">
        <v>5.7</v>
      </c>
      <c r="J5" s="6">
        <v>6.2</v>
      </c>
      <c r="K5" s="6" t="s">
        <v>67</v>
      </c>
    </row>
    <row r="6">
      <c r="A6" s="6">
        <v>3.0</v>
      </c>
      <c r="B6" s="6" t="s">
        <v>57</v>
      </c>
      <c r="C6" s="6" t="s">
        <v>18</v>
      </c>
      <c r="D6" s="6">
        <v>0.25</v>
      </c>
      <c r="E6" s="6">
        <v>0.25</v>
      </c>
      <c r="F6" s="6">
        <v>0.3</v>
      </c>
      <c r="G6" s="6">
        <v>0.5</v>
      </c>
      <c r="H6" s="6">
        <v>5.8</v>
      </c>
      <c r="I6" s="6">
        <v>4.8</v>
      </c>
      <c r="J6" s="6">
        <v>5.8</v>
      </c>
      <c r="K6" s="6" t="s">
        <v>67</v>
      </c>
    </row>
    <row r="7">
      <c r="A7" s="6">
        <v>4.0</v>
      </c>
      <c r="B7" s="6" t="s">
        <v>58</v>
      </c>
      <c r="C7" s="6" t="s">
        <v>21</v>
      </c>
      <c r="D7" s="6">
        <v>0.4</v>
      </c>
      <c r="E7" s="6">
        <v>0.25</v>
      </c>
      <c r="F7" s="6">
        <v>0.35</v>
      </c>
      <c r="G7" s="6">
        <v>1.0</v>
      </c>
      <c r="H7" s="6">
        <v>4.5</v>
      </c>
      <c r="I7" s="6">
        <v>4.7</v>
      </c>
      <c r="J7" s="6">
        <v>5.7</v>
      </c>
      <c r="K7" s="6" t="s">
        <v>67</v>
      </c>
    </row>
    <row r="8">
      <c r="A8" s="6">
        <v>5.0</v>
      </c>
      <c r="B8" s="6" t="s">
        <v>59</v>
      </c>
      <c r="C8" s="6" t="s">
        <v>25</v>
      </c>
      <c r="D8" s="6">
        <v>0.45</v>
      </c>
      <c r="E8" s="6">
        <v>0.4</v>
      </c>
      <c r="F8" s="6">
        <v>0.35</v>
      </c>
      <c r="G8" s="6">
        <v>0.75</v>
      </c>
      <c r="H8" s="6">
        <v>5.5</v>
      </c>
      <c r="I8" s="6">
        <v>5.2</v>
      </c>
      <c r="J8" s="6">
        <v>5.5</v>
      </c>
      <c r="K8" s="6" t="s">
        <v>67</v>
      </c>
    </row>
    <row r="9">
      <c r="A9" s="6">
        <v>7.0</v>
      </c>
      <c r="B9" s="6" t="s">
        <v>61</v>
      </c>
      <c r="C9" s="6" t="s">
        <v>33</v>
      </c>
      <c r="D9" s="6">
        <v>0.4</v>
      </c>
      <c r="E9" s="6">
        <v>0.4</v>
      </c>
      <c r="F9" s="6">
        <v>0.4</v>
      </c>
      <c r="G9" s="6">
        <v>1.0</v>
      </c>
      <c r="H9" s="6">
        <v>5.3</v>
      </c>
      <c r="I9" s="6">
        <v>5.4</v>
      </c>
      <c r="J9" s="6">
        <v>6.4</v>
      </c>
      <c r="K9" s="6" t="s">
        <v>67</v>
      </c>
    </row>
    <row r="10">
      <c r="A10" s="6">
        <v>8.0</v>
      </c>
      <c r="B10" s="6" t="s">
        <v>62</v>
      </c>
      <c r="C10" s="6" t="s">
        <v>37</v>
      </c>
      <c r="D10" s="6">
        <v>0.45</v>
      </c>
      <c r="E10" s="6">
        <v>0.4</v>
      </c>
      <c r="F10" s="6">
        <v>0.45</v>
      </c>
      <c r="G10" s="6">
        <v>0.0</v>
      </c>
      <c r="H10" s="6">
        <v>6.8</v>
      </c>
      <c r="I10" s="6">
        <v>5.4</v>
      </c>
      <c r="J10" s="6">
        <v>0.0</v>
      </c>
      <c r="K10" s="6" t="s">
        <v>69</v>
      </c>
    </row>
    <row r="11">
      <c r="A11" s="6">
        <v>9.0</v>
      </c>
      <c r="B11" s="6" t="s">
        <v>63</v>
      </c>
      <c r="C11" s="6" t="s">
        <v>39</v>
      </c>
      <c r="D11" s="6">
        <v>0.45</v>
      </c>
      <c r="E11" s="6">
        <v>0.4</v>
      </c>
      <c r="F11" s="6">
        <v>0.4</v>
      </c>
      <c r="G11" s="6">
        <v>0.75</v>
      </c>
      <c r="H11" s="6">
        <v>6.3</v>
      </c>
      <c r="I11" s="6">
        <v>5.8</v>
      </c>
      <c r="J11" s="6">
        <v>6.8</v>
      </c>
      <c r="K11" s="6" t="s">
        <v>71</v>
      </c>
    </row>
    <row r="12">
      <c r="A12" s="6">
        <v>11.0</v>
      </c>
      <c r="B12" s="6" t="s">
        <v>72</v>
      </c>
      <c r="C12" s="6" t="s">
        <v>49</v>
      </c>
      <c r="D12" s="6">
        <v>0.4</v>
      </c>
      <c r="E12" s="6">
        <v>0.45</v>
      </c>
      <c r="F12" s="6">
        <v>0.4</v>
      </c>
      <c r="G12" s="6">
        <v>0.3</v>
      </c>
      <c r="H12" s="6">
        <v>-3.0</v>
      </c>
      <c r="I12" s="6">
        <v>0.0</v>
      </c>
      <c r="J12" s="6">
        <v>0.0</v>
      </c>
      <c r="K12" s="6" t="s">
        <v>69</v>
      </c>
    </row>
    <row r="13">
      <c r="A13" s="6">
        <v>13.0</v>
      </c>
      <c r="B13" s="6" t="s">
        <v>73</v>
      </c>
      <c r="C13" s="6" t="s">
        <v>53</v>
      </c>
      <c r="D13" s="6">
        <v>0.4</v>
      </c>
      <c r="E13" s="6">
        <v>0.4</v>
      </c>
      <c r="F13" s="6">
        <v>0.35</v>
      </c>
      <c r="G13" s="6">
        <v>1.35</v>
      </c>
      <c r="H13" s="6">
        <v>-3.0</v>
      </c>
      <c r="I13" s="6">
        <v>0.0</v>
      </c>
      <c r="J13" s="6">
        <v>0.0</v>
      </c>
      <c r="K13" s="6" t="s">
        <v>69</v>
      </c>
    </row>
    <row r="14">
      <c r="A14" s="6">
        <v>14.0</v>
      </c>
      <c r="B14" s="6" t="s">
        <v>74</v>
      </c>
      <c r="C14" s="6" t="s">
        <v>55</v>
      </c>
      <c r="D14" s="6">
        <v>0.35</v>
      </c>
      <c r="E14" s="6">
        <v>0.4</v>
      </c>
      <c r="F14" s="6">
        <v>0.0</v>
      </c>
      <c r="G14" s="6">
        <v>0.85</v>
      </c>
      <c r="H14" s="6">
        <v>6.5</v>
      </c>
      <c r="I14" s="6">
        <v>5.5</v>
      </c>
      <c r="J14" s="6">
        <v>6.5</v>
      </c>
      <c r="K14" s="6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6" width="13.0"/>
    <col customWidth="1" min="7" max="7" width="15.0"/>
    <col customWidth="1" min="8" max="8" width="12.0"/>
    <col customWidth="1" min="9" max="9" width="13.0"/>
    <col customWidth="1" min="10" max="10" width="27.0"/>
    <col customWidth="1" min="11" max="11" width="12.0"/>
    <col customWidth="1" min="12" max="26" width="8.71"/>
  </cols>
  <sheetData>
    <row r="1">
      <c r="A1" s="21" t="s">
        <v>68</v>
      </c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>
      <c r="A3" s="20" t="s">
        <v>4</v>
      </c>
      <c r="B3" s="20" t="s">
        <v>6</v>
      </c>
      <c r="C3" s="20" t="s">
        <v>7</v>
      </c>
      <c r="D3" s="20" t="s">
        <v>13</v>
      </c>
      <c r="E3" s="20" t="s">
        <v>14</v>
      </c>
      <c r="F3" s="20" t="s">
        <v>15</v>
      </c>
      <c r="G3" s="20" t="s">
        <v>41</v>
      </c>
      <c r="H3" s="20" t="s">
        <v>43</v>
      </c>
      <c r="I3" s="20" t="s">
        <v>44</v>
      </c>
      <c r="J3" s="20" t="s">
        <v>45</v>
      </c>
      <c r="K3" s="20" t="s">
        <v>46</v>
      </c>
    </row>
    <row r="4">
      <c r="A4" s="6">
        <v>6.0</v>
      </c>
      <c r="B4" s="6" t="s">
        <v>60</v>
      </c>
      <c r="C4" s="6" t="s">
        <v>27</v>
      </c>
      <c r="D4" s="6">
        <v>0.4</v>
      </c>
      <c r="E4" s="6">
        <v>0.45</v>
      </c>
      <c r="F4" s="6">
        <v>0.5</v>
      </c>
      <c r="G4" s="6">
        <v>1.2</v>
      </c>
      <c r="H4" s="6">
        <v>7.5</v>
      </c>
      <c r="I4" s="6">
        <v>7.0</v>
      </c>
      <c r="J4" s="6">
        <v>8.0</v>
      </c>
      <c r="K4" s="6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2026-10-01T03:33:32Z</dcterms:created>
  <dc:creator>openpyxl</dc:creator>
</cp:coreProperties>
</file>